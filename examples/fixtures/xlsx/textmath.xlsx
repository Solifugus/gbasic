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xtmath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<sst xmlns="http://schemas.openxmlformats.org/spreadsheetml/2006/main" count="74" uniqueCount="74">
  <si>
    <t xml:space="preserve">text</t>
  </si>
  <si>
    <t xml:space="preserve">number</t>
  </si>
  <si>
    <t xml:space="preserve">aux</t>
  </si>
  <si>
    <t xml:space="preserve">label</t>
  </si>
  <si>
    <t xml:space="preserve">formula</t>
  </si>
  <si>
    <t xml:space="preserve">  Loan A  East </t>
  </si>
  <si>
    <t xml:space="preserve">LEN</t>
  </si>
  <si>
    <t xml:space="preserve">Widget-42</t>
  </si>
  <si>
    <t xml:space="preserve">LEFT</t>
  </si>
  <si>
    <t xml:space="preserve">east WEST east</t>
  </si>
  <si>
    <t xml:space="preserve">RIGHT</t>
  </si>
  <si>
    <t xml:space="preserve">abc</t>
  </si>
  <si>
    <t xml:space="preserve">MID</t>
  </si>
  <si>
    <t xml:space="preserve">LEN of trimmed</t>
  </si>
  <si>
    <t xml:space="preserve">LEFT default</t>
  </si>
  <si>
    <t xml:space="preserve">LEFT past end</t>
  </si>
  <si>
    <t xml:space="preserve">RIGHT past end</t>
  </si>
  <si>
    <t xml:space="preserve">MID past end</t>
  </si>
  <si>
    <t xml:space="preserve">MID zero len</t>
  </si>
  <si>
    <t xml:space="preserve">MID start err</t>
  </si>
  <si>
    <t xml:space="preserve">FIND hit</t>
  </si>
  <si>
    <t xml:space="preserve">FIND from</t>
  </si>
  <si>
    <t xml:space="preserve">FIND case</t>
  </si>
  <si>
    <t xml:space="preserve">SEARCH case</t>
  </si>
  <si>
    <t xml:space="preserve">FIND absent</t>
  </si>
  <si>
    <t xml:space="preserve">TRIM interior</t>
  </si>
  <si>
    <t xml:space="preserve">TRIM len</t>
  </si>
  <si>
    <t xml:space="preserve">SUBSTITUTE all</t>
  </si>
  <si>
    <t xml:space="preserve">SUBSTITUTE nth</t>
  </si>
  <si>
    <t xml:space="preserve">REPLACE</t>
  </si>
  <si>
    <t xml:space="preserve">REPT</t>
  </si>
  <si>
    <t xml:space="preserve">UPPER</t>
  </si>
  <si>
    <t xml:space="preserve">LOWER</t>
  </si>
  <si>
    <t xml:space="preserve">PROPER</t>
  </si>
  <si>
    <t xml:space="preserve">EXACT same</t>
  </si>
  <si>
    <t xml:space="preserve">EXACT case</t>
  </si>
  <si>
    <t xml:space="preserve">CHAR</t>
  </si>
  <si>
    <t xml:space="preserve">CODE</t>
  </si>
  <si>
    <t xml:space="preserve">VALUE</t>
  </si>
  <si>
    <t xml:space="preserve">T of text</t>
  </si>
  <si>
    <t xml:space="preserve">T of number</t>
  </si>
  <si>
    <t xml:space="preserve">FIND into MID</t>
  </si>
  <si>
    <t xml:space="preserve">SQRT</t>
  </si>
  <si>
    <t xml:space="preserve">SQRT neg</t>
  </si>
  <si>
    <t xml:space="preserve">EXP</t>
  </si>
  <si>
    <t xml:space="preserve">LN</t>
  </si>
  <si>
    <t xml:space="preserve">LN zero</t>
  </si>
  <si>
    <t xml:space="preserve">LOG10</t>
  </si>
  <si>
    <t xml:space="preserve">LOG default</t>
  </si>
  <si>
    <t xml:space="preserve">LOG base 2</t>
  </si>
  <si>
    <t xml:space="preserve">POWER</t>
  </si>
  <si>
    <t xml:space="preserve">INT positive</t>
  </si>
  <si>
    <t xml:space="preserve">INT negative</t>
  </si>
  <si>
    <t xml:space="preserve">TRUNC negative</t>
  </si>
  <si>
    <t xml:space="preserve">TRUNC digits</t>
  </si>
  <si>
    <t xml:space="preserve">MOD positive</t>
  </si>
  <si>
    <t xml:space="preserve">MOD negative</t>
  </si>
  <si>
    <t xml:space="preserve">MOD neg divisor</t>
  </si>
  <si>
    <t xml:space="preserve">MOD zero</t>
  </si>
  <si>
    <t xml:space="preserve">SIGN</t>
  </si>
  <si>
    <t xml:space="preserve">PI</t>
  </si>
  <si>
    <t xml:space="preserve">CEILING</t>
  </si>
  <si>
    <t xml:space="preserve">FLOOR</t>
  </si>
  <si>
    <t xml:space="preserve">PRODUCT</t>
  </si>
  <si>
    <t xml:space="preserve">SUMPRODUCT</t>
  </si>
  <si>
    <t xml:space="preserve">ABS</t>
  </si>
  <si>
    <t xml:space="preserve">HOUR</t>
  </si>
  <si>
    <t xml:space="preserve">MINUTE</t>
  </si>
  <si>
    <t xml:space="preserve">SECOND</t>
  </si>
  <si>
    <t xml:space="preserve">MINUTE mid</t>
  </si>
  <si>
    <t xml:space="preserve">SECOND mid</t>
  </si>
  <si>
    <t xml:space="preserve">TIME</t>
  </si>
  <si>
    <t xml:space="preserve">HOUR of TIME</t>
  </si>
  <si>
    <t xml:space="preserve">SECOND of TIME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</si>
</sst>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7.55"/>
    <col collapsed="false" customWidth="true" hidden="false" outlineLevel="0" max="3" min="3" style="0" width="4.49"/>
    <col collapsed="false" customWidth="true" hidden="false" outlineLevel="0" max="4" min="4" style="0" width="15.06"/>
    <col collapsed="false" customWidth="true" hidden="false" outlineLevel="0" max="5" min="5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-2.5</v>
      </c>
      <c r="C2" s="0" t="n">
        <v>3</v>
      </c>
      <c r="D2" s="0" t="s">
        <v>6</v>
      </c>
      <c r="E2" s="0" t="n">
        <f aca="false">LEN(A2)</f>
        <v>15</v>
      </c>
    </row>
    <row r="3" customFormat="false" ht="12.8" hidden="false" customHeight="false" outlineLevel="0" collapsed="false">
      <c r="A3" s="0" t="s">
        <v>7</v>
      </c>
      <c r="B3" s="0" t="n">
        <v>2.1</v>
      </c>
      <c r="C3" s="0" t="n">
        <v>4</v>
      </c>
      <c r="D3" s="0" t="s">
        <v>8</v>
      </c>
      <c r="E3" s="0" t="str">
        <f aca="false">LEFT(A3,6)</f>
        <v>Widget</v>
      </c>
    </row>
    <row r="4" customFormat="false" ht="12.8" hidden="false" customHeight="false" outlineLevel="0" collapsed="false">
      <c r="A4" s="0" t="s">
        <v>9</v>
      </c>
      <c r="B4" s="0" t="n">
        <v>7</v>
      </c>
      <c r="C4" s="0" t="n">
        <v>5</v>
      </c>
      <c r="D4" s="0" t="s">
        <v>10</v>
      </c>
      <c r="E4" s="0" t="str">
        <f aca="false">RIGHT(A4,4)</f>
        <v>east</v>
      </c>
    </row>
    <row r="5" customFormat="false" ht="12.8" hidden="false" customHeight="false" outlineLevel="0" collapsed="false">
      <c r="A5" s="0" t="s">
        <v>11</v>
      </c>
      <c r="B5" s="0" t="n">
        <v>-3</v>
      </c>
      <c r="C5" s="0" t="n">
        <v>6</v>
      </c>
      <c r="D5" s="0" t="s">
        <v>12</v>
      </c>
      <c r="E5" s="0" t="str">
        <f aca="false">MID(A3,8,2)</f>
        <v>42</v>
      </c>
    </row>
    <row r="6" customFormat="false" ht="12.8" hidden="false" customHeight="false" outlineLevel="0" collapsed="false">
      <c r="D6" s="0" t="s">
        <v>13</v>
      </c>
      <c r="E6" s="0" t="n">
        <f aca="false">LEN(TRIM(A2))</f>
        <v>11</v>
      </c>
    </row>
    <row r="7" customFormat="false" ht="12.8" hidden="false" customHeight="false" outlineLevel="0" collapsed="false">
      <c r="D7" s="0" t="s">
        <v>14</v>
      </c>
      <c r="E7" s="0" t="str">
        <f aca="false">LEFT(A3)</f>
        <v>W</v>
      </c>
    </row>
    <row r="8" customFormat="false" ht="12.8" hidden="false" customHeight="false" outlineLevel="0" collapsed="false">
      <c r="D8" s="0" t="s">
        <v>15</v>
      </c>
      <c r="E8" s="0" t="str">
        <f aca="false">LEFT(A5,99)</f>
        <v>abc</v>
      </c>
    </row>
    <row r="9" customFormat="false" ht="12.8" hidden="false" customHeight="false" outlineLevel="0" collapsed="false">
      <c r="D9" s="0" t="s">
        <v>16</v>
      </c>
      <c r="E9" s="0" t="str">
        <f aca="false">RIGHT(A5,99)</f>
        <v>abc</v>
      </c>
    </row>
    <row r="10" customFormat="false" ht="12.8" hidden="false" customHeight="false" outlineLevel="0" collapsed="false">
      <c r="D10" s="0" t="s">
        <v>17</v>
      </c>
      <c r="E10" s="0" t="str">
        <f aca="false">MID(A5,10,3)</f>
        <v/>
      </c>
    </row>
    <row r="11" customFormat="false" ht="12.8" hidden="false" customHeight="false" outlineLevel="0" collapsed="false">
      <c r="D11" s="0" t="s">
        <v>18</v>
      </c>
      <c r="E11" s="0" t="str">
        <f aca="false">MID(A3,2,0)</f>
        <v/>
      </c>
    </row>
    <row r="12" customFormat="false" ht="12.8" hidden="false" customHeight="false" outlineLevel="0" collapsed="false">
      <c r="D12" s="0" t="s">
        <v>19</v>
      </c>
      <c r="E12" s="0" t="str">
        <f aca="false">IFERROR(MID(A3,0,2),"err")</f>
        <v>err</v>
      </c>
    </row>
    <row r="13" customFormat="false" ht="12.8" hidden="false" customHeight="false" outlineLevel="0" collapsed="false">
      <c r="D13" s="0" t="s">
        <v>20</v>
      </c>
      <c r="E13" s="0" t="n">
        <f aca="false">FIND("-",A3)</f>
        <v>7</v>
      </c>
    </row>
    <row r="14" customFormat="false" ht="12.8" hidden="false" customHeight="false" outlineLevel="0" collapsed="false">
      <c r="D14" s="0" t="s">
        <v>21</v>
      </c>
      <c r="E14" s="0" t="n">
        <f aca="false">FIND("east",A4,2)</f>
        <v>11</v>
      </c>
    </row>
    <row r="15" customFormat="false" ht="12.8" hidden="false" customHeight="false" outlineLevel="0" collapsed="false">
      <c r="D15" s="0" t="s">
        <v>22</v>
      </c>
      <c r="E15" s="0" t="str">
        <f aca="false">IFERROR(FIND("EAST",A4),"not-found")</f>
        <v>not-found</v>
      </c>
    </row>
    <row r="16" customFormat="false" ht="12.8" hidden="false" customHeight="false" outlineLevel="0" collapsed="false">
      <c r="D16" s="0" t="s">
        <v>23</v>
      </c>
      <c r="E16" s="0" t="n">
        <f aca="false">SEARCH("EAST",A4)</f>
        <v>1</v>
      </c>
    </row>
    <row r="17" customFormat="false" ht="12.8" hidden="false" customHeight="false" outlineLevel="0" collapsed="false">
      <c r="D17" s="0" t="s">
        <v>24</v>
      </c>
      <c r="E17" s="0" t="str">
        <f aca="false">IFERROR(FIND("zz",A3),"not-found")</f>
        <v>not-found</v>
      </c>
    </row>
    <row r="18" customFormat="false" ht="12.8" hidden="false" customHeight="false" outlineLevel="0" collapsed="false">
      <c r="D18" s="0" t="s">
        <v>25</v>
      </c>
      <c r="E18" s="0" t="str">
        <f aca="false">TRIM(A2)</f>
        <v>Loan A East</v>
      </c>
    </row>
    <row r="19" customFormat="false" ht="12.8" hidden="false" customHeight="false" outlineLevel="0" collapsed="false">
      <c r="D19" s="0" t="s">
        <v>26</v>
      </c>
      <c r="E19" s="0" t="n">
        <f aca="false">LEN(TRIM("  a   b  "))</f>
        <v>3</v>
      </c>
    </row>
    <row r="20" customFormat="false" ht="12.8" hidden="false" customHeight="false" outlineLevel="0" collapsed="false">
      <c r="D20" s="0" t="s">
        <v>27</v>
      </c>
      <c r="E20" s="0" t="str">
        <f aca="false">SUBSTITUTE(A4,"east","E")</f>
        <v>E WEST E</v>
      </c>
    </row>
    <row r="21" customFormat="false" ht="12.8" hidden="false" customHeight="false" outlineLevel="0" collapsed="false">
      <c r="D21" s="0" t="s">
        <v>28</v>
      </c>
      <c r="E21" s="0" t="str">
        <f aca="false">SUBSTITUTE(A4,"east","E",2)</f>
        <v>east WEST E</v>
      </c>
    </row>
    <row r="22" customFormat="false" ht="12.8" hidden="false" customHeight="false" outlineLevel="0" collapsed="false">
      <c r="D22" s="0" t="s">
        <v>29</v>
      </c>
      <c r="E22" s="0" t="str">
        <f aca="false">REPLACE(A3,1,6,"Gadget")</f>
        <v>Gadget-42</v>
      </c>
    </row>
    <row r="23" customFormat="false" ht="12.8" hidden="false" customHeight="false" outlineLevel="0" collapsed="false">
      <c r="D23" s="0" t="s">
        <v>30</v>
      </c>
      <c r="E23" s="0" t="str">
        <f aca="false">REPT("ab",3)</f>
        <v>ababab</v>
      </c>
    </row>
    <row r="24" customFormat="false" ht="12.8" hidden="false" customHeight="false" outlineLevel="0" collapsed="false">
      <c r="D24" s="0" t="s">
        <v>31</v>
      </c>
      <c r="E24" s="0" t="str">
        <f aca="false">UPPER(A3)</f>
        <v>WIDGET-42</v>
      </c>
    </row>
    <row r="25" customFormat="false" ht="12.8" hidden="false" customHeight="false" outlineLevel="0" collapsed="false">
      <c r="D25" s="0" t="s">
        <v>32</v>
      </c>
      <c r="E25" s="0" t="str">
        <f aca="false">LOWER(A3)</f>
        <v>widget-42</v>
      </c>
    </row>
    <row r="26" customFormat="false" ht="12.8" hidden="false" customHeight="false" outlineLevel="0" collapsed="false">
      <c r="D26" s="0" t="s">
        <v>33</v>
      </c>
      <c r="E26" s="0" t="str">
        <f aca="false">PROPER(A4)</f>
        <v>East West East</v>
      </c>
    </row>
    <row r="27" customFormat="false" ht="12.8" hidden="false" customHeight="false" outlineLevel="0" collapsed="false">
      <c r="D27" s="0" t="s">
        <v>34</v>
      </c>
      <c r="E27" s="0" t="b">
        <f aca="false">EXACT("abc","abc")</f>
        <v>1</v>
      </c>
    </row>
    <row r="28" customFormat="false" ht="12.8" hidden="false" customHeight="false" outlineLevel="0" collapsed="false">
      <c r="D28" s="0" t="s">
        <v>35</v>
      </c>
      <c r="E28" s="0" t="b">
        <f aca="false">EXACT("abc","ABC")</f>
        <v>0</v>
      </c>
    </row>
    <row r="29" customFormat="false" ht="12.8" hidden="false" customHeight="false" outlineLevel="0" collapsed="false">
      <c r="D29" s="0" t="s">
        <v>36</v>
      </c>
      <c r="E29" s="0" t="str">
        <f aca="false">CHAR(65)</f>
        <v>A</v>
      </c>
    </row>
    <row r="30" customFormat="false" ht="12.8" hidden="false" customHeight="false" outlineLevel="0" collapsed="false">
      <c r="D30" s="0" t="s">
        <v>37</v>
      </c>
      <c r="E30" s="0" t="n">
        <f aca="false">CODE("A")</f>
        <v>65</v>
      </c>
    </row>
    <row r="31" customFormat="false" ht="12.8" hidden="false" customHeight="false" outlineLevel="0" collapsed="false">
      <c r="D31" s="0" t="s">
        <v>38</v>
      </c>
      <c r="E31" s="0" t="n">
        <f aca="false">VALUE("1234.5")</f>
        <v>1234.5</v>
      </c>
    </row>
    <row r="32" customFormat="false" ht="12.8" hidden="false" customHeight="false" outlineLevel="0" collapsed="false">
      <c r="D32" s="0" t="s">
        <v>39</v>
      </c>
      <c r="E32" s="0" t="str">
        <f aca="false">T(A3)</f>
        <v>Widget-42</v>
      </c>
    </row>
    <row r="33" customFormat="false" ht="12.8" hidden="false" customHeight="false" outlineLevel="0" collapsed="false">
      <c r="D33" s="0" t="s">
        <v>40</v>
      </c>
      <c r="E33" s="0" t="str">
        <f aca="false">T(B3)</f>
        <v/>
      </c>
    </row>
    <row r="34" customFormat="false" ht="12.8" hidden="false" customHeight="false" outlineLevel="0" collapsed="false">
      <c r="D34" s="0" t="s">
        <v>41</v>
      </c>
      <c r="E34" s="0" t="str">
        <f aca="false">MID(A3,FIND("-",A3)+1,2)</f>
        <v>42</v>
      </c>
    </row>
    <row r="35" customFormat="false" ht="12.8" hidden="false" customHeight="false" outlineLevel="0" collapsed="false">
      <c r="D35" s="0" t="s">
        <v>42</v>
      </c>
      <c r="E35" s="0" t="n">
        <f aca="false">SQRT(C4)</f>
        <v>2.23606797749979</v>
      </c>
    </row>
    <row r="36" customFormat="false" ht="12.8" hidden="false" customHeight="false" outlineLevel="0" collapsed="false">
      <c r="D36" s="0" t="s">
        <v>43</v>
      </c>
      <c r="E36" s="0" t="str">
        <f aca="false">IFERROR(SQRT(-1),"num-err")</f>
        <v>num-err</v>
      </c>
    </row>
    <row r="37" customFormat="false" ht="12.8" hidden="false" customHeight="false" outlineLevel="0" collapsed="false">
      <c r="D37" s="0" t="s">
        <v>44</v>
      </c>
      <c r="E37" s="0" t="n">
        <f aca="false">EXP(1)</f>
        <v>2.71828182845905</v>
      </c>
    </row>
    <row r="38" customFormat="false" ht="12.8" hidden="false" customHeight="false" outlineLevel="0" collapsed="false">
      <c r="D38" s="0" t="s">
        <v>45</v>
      </c>
      <c r="E38" s="0" t="n">
        <f aca="false">LN(10)</f>
        <v>2.30258509299405</v>
      </c>
    </row>
    <row r="39" customFormat="false" ht="12.8" hidden="false" customHeight="false" outlineLevel="0" collapsed="false">
      <c r="D39" s="0" t="s">
        <v>46</v>
      </c>
      <c r="E39" s="0" t="str">
        <f aca="false">IFERROR(LN(0),"num-err")</f>
        <v>num-err</v>
      </c>
    </row>
    <row r="40" customFormat="false" ht="12.8" hidden="false" customHeight="false" outlineLevel="0" collapsed="false">
      <c r="D40" s="0" t="s">
        <v>47</v>
      </c>
      <c r="E40" s="0" t="n">
        <f aca="false">LOG10(1000)</f>
        <v>3</v>
      </c>
    </row>
    <row r="41" customFormat="false" ht="12.8" hidden="false" customHeight="false" outlineLevel="0" collapsed="false">
      <c r="D41" s="0" t="s">
        <v>48</v>
      </c>
      <c r="E41" s="0" t="n">
        <f aca="false">LOG(1000)</f>
        <v>3</v>
      </c>
    </row>
    <row r="42" customFormat="false" ht="12.8" hidden="false" customHeight="false" outlineLevel="0" collapsed="false">
      <c r="D42" s="0" t="s">
        <v>49</v>
      </c>
      <c r="E42" s="0" t="n">
        <f aca="false">LOG(8,2)</f>
        <v>3</v>
      </c>
    </row>
    <row r="43" customFormat="false" ht="12.8" hidden="false" customHeight="false" outlineLevel="0" collapsed="false">
      <c r="D43" s="0" t="s">
        <v>50</v>
      </c>
      <c r="E43" s="0" t="n">
        <f aca="false">POWER(2,10)</f>
        <v>1024</v>
      </c>
    </row>
    <row r="44" customFormat="false" ht="12.8" hidden="false" customHeight="false" outlineLevel="0" collapsed="false">
      <c r="D44" s="0" t="s">
        <v>51</v>
      </c>
      <c r="E44" s="0" t="n">
        <f aca="false">INT(2.7)</f>
        <v>2</v>
      </c>
    </row>
    <row r="45" customFormat="false" ht="12.8" hidden="false" customHeight="false" outlineLevel="0" collapsed="false">
      <c r="D45" s="0" t="s">
        <v>52</v>
      </c>
      <c r="E45" s="0" t="n">
        <f aca="false">INT(-1.5)</f>
        <v>-2</v>
      </c>
    </row>
    <row r="46" customFormat="false" ht="12.8" hidden="false" customHeight="false" outlineLevel="0" collapsed="false">
      <c r="D46" s="0" t="s">
        <v>53</v>
      </c>
      <c r="E46" s="0" t="n">
        <f aca="false">TRUNC(-1.5)</f>
        <v>-1</v>
      </c>
    </row>
    <row r="47" customFormat="false" ht="12.8" hidden="false" customHeight="false" outlineLevel="0" collapsed="false">
      <c r="D47" s="0" t="s">
        <v>54</v>
      </c>
      <c r="E47" s="0" t="n">
        <f aca="false">TRUNC(3.14159,2)</f>
        <v>3.14</v>
      </c>
    </row>
    <row r="48" customFormat="false" ht="12.8" hidden="false" customHeight="false" outlineLevel="0" collapsed="false">
      <c r="D48" s="0" t="s">
        <v>55</v>
      </c>
      <c r="E48" s="0" t="n">
        <f aca="false">MOD(7,3)</f>
        <v>1</v>
      </c>
    </row>
    <row r="49" customFormat="false" ht="12.8" hidden="false" customHeight="false" outlineLevel="0" collapsed="false">
      <c r="D49" s="0" t="s">
        <v>56</v>
      </c>
      <c r="E49" s="0" t="n">
        <f aca="false">MOD(-3,2)</f>
        <v>1</v>
      </c>
    </row>
    <row r="50" customFormat="false" ht="12.8" hidden="false" customHeight="false" outlineLevel="0" collapsed="false">
      <c r="D50" s="0" t="s">
        <v>57</v>
      </c>
      <c r="E50" s="0" t="n">
        <f aca="false">MOD(3,-2)</f>
        <v>-1</v>
      </c>
    </row>
    <row r="51" customFormat="false" ht="12.8" hidden="false" customHeight="false" outlineLevel="0" collapsed="false">
      <c r="D51" s="0" t="s">
        <v>58</v>
      </c>
      <c r="E51" s="0" t="str">
        <f aca="false">IFERROR(MOD(1,0),"div0")</f>
        <v>div0</v>
      </c>
    </row>
    <row r="52" customFormat="false" ht="12.8" hidden="false" customHeight="false" outlineLevel="0" collapsed="false">
      <c r="D52" s="0" t="s">
        <v>59</v>
      </c>
      <c r="E52" s="0" t="n">
        <f aca="false">SIGN(B2)</f>
        <v>-1</v>
      </c>
    </row>
    <row r="53" customFormat="false" ht="12.8" hidden="false" customHeight="false" outlineLevel="0" collapsed="false">
      <c r="D53" s="0" t="s">
        <v>60</v>
      </c>
      <c r="E53" s="0" t="n">
        <f aca="false">PI()</f>
        <v>3.14159265358979</v>
      </c>
    </row>
    <row r="54" customFormat="false" ht="12.8" hidden="false" customHeight="false" outlineLevel="0" collapsed="false">
      <c r="D54" s="0" t="s">
        <v>61</v>
      </c>
      <c r="E54" s="0" t="n">
        <f aca="false">_xlfn.CEILING.MATH(2.1,0.5)</f>
        <v>2.5</v>
      </c>
    </row>
    <row r="55" customFormat="false" ht="12.8" hidden="false" customHeight="false" outlineLevel="0" collapsed="false">
      <c r="D55" s="0" t="s">
        <v>62</v>
      </c>
      <c r="E55" s="0" t="n">
        <f aca="false">_xlfn.FLOOR.MATH(2.9,0.5)</f>
        <v>2.5</v>
      </c>
    </row>
    <row r="56" customFormat="false" ht="12.8" hidden="false" customHeight="false" outlineLevel="0" collapsed="false">
      <c r="D56" s="0" t="s">
        <v>63</v>
      </c>
      <c r="E56" s="0" t="n">
        <f aca="false">PRODUCT(C2:C5)</f>
        <v>360</v>
      </c>
    </row>
    <row r="57" customFormat="false" ht="12.8" hidden="false" customHeight="false" outlineLevel="0" collapsed="false">
      <c r="D57" s="0" t="s">
        <v>64</v>
      </c>
      <c r="E57" s="0" t="n">
        <f aca="false">SUMPRODUCT(B2:B5,C2:C5)</f>
        <v>17.9</v>
      </c>
    </row>
    <row r="58" customFormat="false" ht="12.8" hidden="false" customHeight="false" outlineLevel="0" collapsed="false">
      <c r="D58" s="0" t="s">
        <v>65</v>
      </c>
      <c r="E58" s="0" t="n">
        <f aca="false">ABS(B2)</f>
        <v>2.5</v>
      </c>
    </row>
    <row r="59" customFormat="false" ht="12.8" hidden="false" customHeight="false" outlineLevel="0" collapsed="false">
      <c r="D59" s="0" t="s">
        <v>66</v>
      </c>
      <c r="E59" s="0" t="n">
        <f aca="false">HOUR(TIME(13,33,0))</f>
        <v>13</v>
      </c>
    </row>
    <row r="60" customFormat="false" ht="12.8" hidden="false" customHeight="false" outlineLevel="0" collapsed="false">
      <c r="D60" s="0" t="s">
        <v>67</v>
      </c>
      <c r="E60" s="0" t="n">
        <f aca="false">MINUTE(TIME(13,33,0))</f>
        <v>33</v>
      </c>
    </row>
    <row r="61" customFormat="false" ht="12.8" hidden="false" customHeight="false" outlineLevel="0" collapsed="false">
      <c r="D61" s="0" t="s">
        <v>68</v>
      </c>
      <c r="E61" s="0" t="n">
        <f aca="false">SECOND(TIME(13,33,0))</f>
        <v>0</v>
      </c>
    </row>
    <row r="62" customFormat="false" ht="12.8" hidden="false" customHeight="false" outlineLevel="0" collapsed="false">
      <c r="D62" s="0" t="s">
        <v>69</v>
      </c>
      <c r="E62" s="0" t="n">
        <f aca="false">MINUTE(TIME(6,7,8))</f>
        <v>7</v>
      </c>
    </row>
    <row r="63" customFormat="false" ht="12.8" hidden="false" customHeight="false" outlineLevel="0" collapsed="false">
      <c r="D63" s="0" t="s">
        <v>70</v>
      </c>
      <c r="E63" s="0" t="n">
        <f aca="false">SECOND(TIME(6,7,8))</f>
        <v>8</v>
      </c>
    </row>
    <row r="64" customFormat="false" ht="12.8" hidden="false" customHeight="false" outlineLevel="0" collapsed="false">
      <c r="D64" s="0" t="s">
        <v>71</v>
      </c>
      <c r="E64" s="0" t="n">
        <f aca="false">TIME(13,33,0)</f>
        <v>0.564583333333333</v>
      </c>
    </row>
    <row r="65" customFormat="false" ht="12.8" hidden="false" customHeight="false" outlineLevel="0" collapsed="false">
      <c r="D65" s="0" t="s">
        <v>72</v>
      </c>
      <c r="E65" s="0" t="n">
        <f aca="false">HOUR(TIME(23,59,59))</f>
        <v>23</v>
      </c>
    </row>
    <row r="66" customFormat="false" ht="12.8" hidden="false" customHeight="false" outlineLevel="0" collapsed="false">
      <c r="D66" s="0" t="s">
        <v>73</v>
      </c>
      <c r="E66" s="0" t="n">
        <f aca="false">SECOND(TIME(23,59,59))</f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