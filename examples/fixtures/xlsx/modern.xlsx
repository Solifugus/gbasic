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r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<sst xmlns="http://schemas.openxmlformats.org/spreadsheetml/2006/main" count="74" uniqueCount="68">
  <si>
    <t xml:space="preserve">region</t>
  </si>
  <si>
    <t xml:space="preserve">product</t>
  </si>
  <si>
    <t xml:space="preserve">amount</t>
  </si>
  <si>
    <t xml:space="preserve">date</t>
  </si>
  <si>
    <t xml:space="preserve">label</t>
  </si>
  <si>
    <t xml:space="preserve">formula</t>
  </si>
  <si>
    <t xml:space="preserve">East</t>
  </si>
  <si>
    <t xml:space="preserve">Loan A</t>
  </si>
  <si>
    <t xml:space="preserve">SUMIFS region</t>
  </si>
  <si>
    <t xml:space="preserve">West</t>
  </si>
  <si>
    <t xml:space="preserve">Loan B</t>
  </si>
  <si>
    <t xml:space="preserve">SUMIFS two crit</t>
  </si>
  <si>
    <t xml:space="preserve">COUNTIFS</t>
  </si>
  <si>
    <t xml:space="preserve">AVERAGEIFS</t>
  </si>
  <si>
    <t xml:space="preserve">MAXIFS</t>
  </si>
  <si>
    <t xml:space="preserve">North</t>
  </si>
  <si>
    <t xml:space="preserve">Other</t>
  </si>
  <si>
    <t xml:space="preserve">MINIFS</t>
  </si>
  <si>
    <t xml:space="preserve">SUMIF</t>
  </si>
  <si>
    <t xml:space="preserve">SUMIF wildcard</t>
  </si>
  <si>
    <t xml:space="preserve">COUNTIF ne</t>
  </si>
  <si>
    <t xml:space="preserve">AVERAGEIF</t>
  </si>
  <si>
    <t xml:space="preserve">IFERROR</t>
  </si>
  <si>
    <t xml:space="preserve">IFNA hit</t>
  </si>
  <si>
    <t xml:space="preserve">IFNA passthru</t>
  </si>
  <si>
    <t xml:space="preserve">IFS</t>
  </si>
  <si>
    <t xml:space="preserve">SWITCH</t>
  </si>
  <si>
    <t xml:space="preserve">SWITCH default</t>
  </si>
  <si>
    <t xml:space="preserve">XOR</t>
  </si>
  <si>
    <t xml:space="preserve">CONCAT</t>
  </si>
  <si>
    <t xml:space="preserve">CONCATENATE</t>
  </si>
  <si>
    <t xml:space="preserve">TEXTJOIN</t>
  </si>
  <si>
    <t xml:space="preserve">TEXTBEFORE</t>
  </si>
  <si>
    <t xml:space="preserve">TEXTAFTER</t>
  </si>
  <si>
    <t xml:space="preserve">XLOOKUP</t>
  </si>
  <si>
    <t xml:space="preserve">XLOOKUP missing</t>
  </si>
  <si>
    <t xml:space="preserve">XMATCH</t>
  </si>
  <si>
    <t xml:space="preserve">EOMONTH 0</t>
  </si>
  <si>
    <t xml:space="preserve">EOMONTH +2</t>
  </si>
  <si>
    <t xml:space="preserve">EOMONTH -1</t>
  </si>
  <si>
    <t xml:space="preserve">EDATE</t>
  </si>
  <si>
    <t xml:space="preserve">DAYS</t>
  </si>
  <si>
    <t xml:space="preserve">YEARFRAC us</t>
  </si>
  <si>
    <t xml:space="preserve">YEARFRAC act360</t>
  </si>
  <si>
    <t xml:space="preserve">YEARFRAC act365</t>
  </si>
  <si>
    <t xml:space="preserve">YEARFRAC euro</t>
  </si>
  <si>
    <t xml:space="preserve">NETWORKDAYS</t>
  </si>
  <si>
    <t xml:space="preserve">ISOWEEKNUM</t>
  </si>
  <si>
    <t xml:space="preserve">WEEKDAY 1</t>
  </si>
  <si>
    <t xml:space="preserve">WEEKDAY 2</t>
  </si>
  <si>
    <t xml:space="preserve">YEAR</t>
  </si>
  <si>
    <t xml:space="preserve">MONTH</t>
  </si>
  <si>
    <t xml:space="preserve">DAY</t>
  </si>
  <si>
    <t xml:space="preserve">DATE normalise</t>
  </si>
  <si>
    <t xml:space="preserve">STDEV.S</t>
  </si>
  <si>
    <t xml:space="preserve">STDEV.P</t>
  </si>
  <si>
    <t xml:space="preserve">VAR.S</t>
  </si>
  <si>
    <t xml:space="preserve">VAR.P</t>
  </si>
  <si>
    <t xml:space="preserve">MEDIAN</t>
  </si>
  <si>
    <t xml:space="preserve">PERCENTILE.INC</t>
  </si>
  <si>
    <t xml:space="preserve">QUARTILE.INC</t>
  </si>
  <si>
    <t xml:space="preserve">RANK.EQ desc</t>
  </si>
  <si>
    <t xml:space="preserve">RANK.EQ asc</t>
  </si>
  <si>
    <t xml:space="preserve">SMALL</t>
  </si>
  <si>
    <t xml:space="preserve">LARGE</t>
  </si>
  <si>
    <t xml:space="preserve">AGGREGATE sum</t>
  </si>
  <si>
    <t xml:space="preserve">AGGREGATE skiperr</t>
  </si>
  <si>
    <t xml:space="preserve">SUBTOTAL 109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</si>
</sst>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44"/>
    <col collapsed="false" customWidth="true" hidden="false" outlineLevel="0" max="3" min="2" style="0" width="7.55"/>
    <col collapsed="false" customWidth="true" hidden="false" outlineLevel="0" max="4" min="4" style="0" width="6.44"/>
    <col collapsed="false" customWidth="true" hidden="false" outlineLevel="0" max="5" min="5" style="0" width="19.1"/>
    <col collapsed="false" customWidth="true" hidden="false" outlineLevel="0" max="6" min="6" style="0" width="27.5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1200</v>
      </c>
      <c r="D2" s="0" t="n">
        <f aca="false">DATE(2026,1,15)</f>
        <v>46037</v>
      </c>
      <c r="E2" s="0" t="s">
        <v>8</v>
      </c>
      <c r="F2" s="0" t="n">
        <f aca="false">SUMIFS(C2:C7,A2:A7,"East")</f>
        <v>3650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n">
        <v>800</v>
      </c>
      <c r="D3" s="0" t="n">
        <f aca="false">DATE(2026,2,28)</f>
        <v>46081</v>
      </c>
      <c r="E3" s="0" t="s">
        <v>11</v>
      </c>
      <c r="F3" s="0" t="n">
        <f aca="false">SUMIFS(C2:C7,A2:A7,"East",B2:B7,"Loan A")</f>
        <v>2150</v>
      </c>
    </row>
    <row r="4" customFormat="false" ht="12.8" hidden="false" customHeight="false" outlineLevel="0" collapsed="false">
      <c r="A4" s="0" t="s">
        <v>6</v>
      </c>
      <c r="B4" s="0" t="s">
        <v>10</v>
      </c>
      <c r="C4" s="0" t="n">
        <v>1500</v>
      </c>
      <c r="D4" s="0" t="n">
        <f aca="false">DATE(2026,3,31)</f>
        <v>46112</v>
      </c>
      <c r="E4" s="0" t="s">
        <v>12</v>
      </c>
      <c r="F4" s="0" t="n">
        <f aca="false">COUNTIFS(A2:A7,"East",C2:C7,"&gt;1000")</f>
        <v>2</v>
      </c>
    </row>
    <row r="5" customFormat="false" ht="12.8" hidden="false" customHeight="false" outlineLevel="0" collapsed="false">
      <c r="A5" s="0" t="s">
        <v>9</v>
      </c>
      <c r="B5" s="0" t="s">
        <v>7</v>
      </c>
      <c r="C5" s="0" t="n">
        <v>400</v>
      </c>
      <c r="D5" s="0" t="n">
        <f aca="false">DATE(2026,4,1)</f>
        <v>46113</v>
      </c>
      <c r="E5" s="0" t="s">
        <v>13</v>
      </c>
      <c r="F5" s="0" t="n">
        <f aca="false">AVERAGEIFS(C2:C7,A2:A7,"West")</f>
        <v>600</v>
      </c>
    </row>
    <row r="6" customFormat="false" ht="12.8" hidden="false" customHeight="false" outlineLevel="0" collapsed="false">
      <c r="A6" s="0" t="s">
        <v>6</v>
      </c>
      <c r="B6" s="0" t="s">
        <v>7</v>
      </c>
      <c r="C6" s="0" t="n">
        <v>950</v>
      </c>
      <c r="D6" s="0" t="n">
        <f aca="false">DATE(2026,6,30)</f>
        <v>46203</v>
      </c>
      <c r="E6" s="0" t="s">
        <v>14</v>
      </c>
      <c r="F6" s="0" t="n">
        <f aca="false">_xlfn.MAXIFS(C2:C7,A2:A7,"East")</f>
        <v>1500</v>
      </c>
    </row>
    <row r="7" customFormat="false" ht="12.8" hidden="false" customHeight="false" outlineLevel="0" collapsed="false">
      <c r="A7" s="0" t="s">
        <v>15</v>
      </c>
      <c r="B7" s="0" t="s">
        <v>16</v>
      </c>
      <c r="C7" s="0" t="n">
        <v>2200</v>
      </c>
      <c r="D7" s="0" t="n">
        <f aca="false">DATE(2026,12,31)</f>
        <v>46387</v>
      </c>
      <c r="E7" s="0" t="s">
        <v>17</v>
      </c>
      <c r="F7" s="0" t="n">
        <f aca="false">_xlfn.MINIFS(C2:C7,A2:A7,"East")</f>
        <v>950</v>
      </c>
    </row>
    <row r="8" customFormat="false" ht="12.8" hidden="false" customHeight="false" outlineLevel="0" collapsed="false">
      <c r="E8" s="0" t="s">
        <v>18</v>
      </c>
      <c r="F8" s="0" t="n">
        <f aca="false">SUMIF(A2:A7,"East",C2:C7)</f>
        <v>3650</v>
      </c>
    </row>
    <row r="9" customFormat="false" ht="12.8" hidden="false" customHeight="false" outlineLevel="0" collapsed="false">
      <c r="E9" s="0" t="s">
        <v>19</v>
      </c>
      <c r="F9" s="0" t="n">
        <f aca="false">SUMIF(B2:B7,"Loan*",C2:C7)</f>
        <v>4850</v>
      </c>
    </row>
    <row r="10" customFormat="false" ht="12.8" hidden="false" customHeight="false" outlineLevel="0" collapsed="false">
      <c r="E10" s="0" t="s">
        <v>20</v>
      </c>
      <c r="F10" s="0" t="n">
        <f aca="false">COUNTIF(A2:A7,"&lt;&gt;East")</f>
        <v>3</v>
      </c>
    </row>
    <row r="11" customFormat="false" ht="12.8" hidden="false" customHeight="false" outlineLevel="0" collapsed="false">
      <c r="E11" s="0" t="s">
        <v>21</v>
      </c>
      <c r="F11" s="0" t="n">
        <f aca="false">AVERAGEIF(C2:C7,"&gt;=1000")</f>
        <v>1633.33333333333</v>
      </c>
    </row>
    <row r="12" customFormat="false" ht="12.8" hidden="false" customHeight="false" outlineLevel="0" collapsed="false">
      <c r="E12" s="0" t="s">
        <v>22</v>
      </c>
      <c r="F12" s="0" t="str">
        <f aca="false">IFERROR(1/0,"caught")</f>
        <v>caught</v>
      </c>
    </row>
    <row r="13" customFormat="false" ht="12.8" hidden="false" customHeight="false" outlineLevel="0" collapsed="false">
      <c r="E13" s="0" t="s">
        <v>23</v>
      </c>
      <c r="F13" s="0" t="str">
        <f aca="false">_xlfn.IFNA(NA(),"was-na")</f>
        <v>was-na</v>
      </c>
    </row>
    <row r="14" customFormat="false" ht="12.8" hidden="false" customHeight="false" outlineLevel="0" collapsed="false">
      <c r="E14" s="0" t="s">
        <v>24</v>
      </c>
      <c r="F14" s="0" t="n">
        <f aca="false">_xlfn.IFNA(42,"was-na")</f>
        <v>42</v>
      </c>
    </row>
    <row r="15" customFormat="false" ht="12.8" hidden="false" customHeight="false" outlineLevel="0" collapsed="false">
      <c r="E15" s="0" t="s">
        <v>25</v>
      </c>
      <c r="F15" s="0" t="str">
        <f aca="false">_xlfn.IFS(C2&gt;2000,"huge",C2&gt;1000,"big",1,"small")</f>
        <v>big</v>
      </c>
    </row>
    <row r="16" customFormat="false" ht="12.8" hidden="false" customHeight="false" outlineLevel="0" collapsed="false">
      <c r="E16" s="0" t="s">
        <v>26</v>
      </c>
      <c r="F16" s="0" t="str">
        <f aca="false">_xlfn.SWITCH(A3,"East","e","West","w","other")</f>
        <v>w</v>
      </c>
    </row>
    <row r="17" customFormat="false" ht="12.8" hidden="false" customHeight="false" outlineLevel="0" collapsed="false">
      <c r="E17" s="0" t="s">
        <v>27</v>
      </c>
      <c r="F17" s="0" t="str">
        <f aca="false">_xlfn.SWITCH("zzz","East","e","fallback")</f>
        <v>fallback</v>
      </c>
    </row>
    <row r="18" customFormat="false" ht="12.8" hidden="false" customHeight="false" outlineLevel="0" collapsed="false">
      <c r="E18" s="0" t="s">
        <v>28</v>
      </c>
      <c r="F18" s="0" t="b">
        <f aca="false">_xlfn.XOR(1,0,1)</f>
        <v>0</v>
      </c>
    </row>
    <row r="19" customFormat="false" ht="12.8" hidden="false" customHeight="false" outlineLevel="0" collapsed="false">
      <c r="E19" s="0" t="s">
        <v>29</v>
      </c>
      <c r="F19" s="0" t="str">
        <f aca="false">_xlfn.CONCAT(A2:A4)</f>
        <v>EastWestEast</v>
      </c>
    </row>
    <row r="20" customFormat="false" ht="12.8" hidden="false" customHeight="false" outlineLevel="0" collapsed="false">
      <c r="E20" s="0" t="s">
        <v>30</v>
      </c>
      <c r="F20" s="0" t="str">
        <f aca="false">CONCATENATE(A2,"-",B2)</f>
        <v>East-Loan A</v>
      </c>
    </row>
    <row r="21" customFormat="false" ht="12.8" hidden="false" customHeight="false" outlineLevel="0" collapsed="false">
      <c r="E21" s="0" t="s">
        <v>31</v>
      </c>
      <c r="F21" s="0" t="str">
        <f aca="false">_xlfn.TEXTJOIN("|",1,A2:A7)</f>
        <v>East|West|East|West|East|North</v>
      </c>
    </row>
    <row r="22" customFormat="false" ht="12.8" hidden="false" customHeight="false" outlineLevel="0" collapsed="false">
      <c r="E22" s="0" t="s">
        <v>32</v>
      </c>
      <c r="F22" s="0" t="str">
        <f aca="false">_xlfn.TEXTBEFORE("Loan A - East"," - ")</f>
        <v>Loan A</v>
      </c>
    </row>
    <row r="23" customFormat="false" ht="12.8" hidden="false" customHeight="false" outlineLevel="0" collapsed="false">
      <c r="E23" s="0" t="s">
        <v>33</v>
      </c>
      <c r="F23" s="0" t="str">
        <f aca="false">_xlfn.TEXTAFTER("Loan A - East"," - ")</f>
        <v>East</v>
      </c>
    </row>
    <row r="24" customFormat="false" ht="12.8" hidden="false" customHeight="false" outlineLevel="0" collapsed="false">
      <c r="E24" s="0" t="s">
        <v>34</v>
      </c>
      <c r="F24" s="0" t="n">
        <f aca="false">_xlfn.XLOOKUP("West",A2:A7,C2:C7)</f>
        <v>800</v>
      </c>
    </row>
    <row r="25" customFormat="false" ht="12.8" hidden="false" customHeight="false" outlineLevel="0" collapsed="false">
      <c r="E25" s="0" t="s">
        <v>35</v>
      </c>
      <c r="F25" s="0" t="str">
        <f aca="false">_xlfn.XLOOKUP("South",A2:A7,C2:C7,"none")</f>
        <v>none</v>
      </c>
    </row>
    <row r="26" customFormat="false" ht="12.8" hidden="false" customHeight="false" outlineLevel="0" collapsed="false">
      <c r="E26" s="0" t="s">
        <v>36</v>
      </c>
      <c r="F26" s="0" t="n">
        <f aca="false">_xlfn.XMATCH("North",A2:A7)</f>
        <v>6</v>
      </c>
    </row>
    <row r="27" customFormat="false" ht="12.8" hidden="false" customHeight="false" outlineLevel="0" collapsed="false">
      <c r="E27" s="0" t="s">
        <v>37</v>
      </c>
      <c r="F27" s="0" t="n">
        <f aca="false">EOMONTH(D2,0)</f>
        <v>46053</v>
      </c>
    </row>
    <row r="28" customFormat="false" ht="12.8" hidden="false" customHeight="false" outlineLevel="0" collapsed="false">
      <c r="E28" s="0" t="s">
        <v>38</v>
      </c>
      <c r="F28" s="0" t="n">
        <f aca="false">EOMONTH(D2,2)</f>
        <v>46112</v>
      </c>
    </row>
    <row r="29" customFormat="false" ht="12.8" hidden="false" customHeight="false" outlineLevel="0" collapsed="false">
      <c r="E29" s="0" t="s">
        <v>39</v>
      </c>
      <c r="F29" s="0" t="n">
        <f aca="false">EOMONTH(D2,-1)</f>
        <v>46022</v>
      </c>
    </row>
    <row r="30" customFormat="false" ht="12.8" hidden="false" customHeight="false" outlineLevel="0" collapsed="false">
      <c r="E30" s="0" t="s">
        <v>40</v>
      </c>
      <c r="F30" s="0" t="n">
        <f aca="false">EDATE(D3,1)</f>
        <v>46109</v>
      </c>
    </row>
    <row r="31" customFormat="false" ht="12.8" hidden="false" customHeight="false" outlineLevel="0" collapsed="false">
      <c r="E31" s="0" t="s">
        <v>41</v>
      </c>
      <c r="F31" s="0" t="n">
        <f aca="false">_xlfn.DAYS(D4,D2)</f>
        <v>75</v>
      </c>
    </row>
    <row r="32" customFormat="false" ht="12.8" hidden="false" customHeight="false" outlineLevel="0" collapsed="false">
      <c r="E32" s="0" t="s">
        <v>42</v>
      </c>
      <c r="F32" s="0" t="n">
        <f aca="false">YEARFRAC(D2,D6,0)</f>
        <v>0.458333333333333</v>
      </c>
    </row>
    <row r="33" customFormat="false" ht="12.8" hidden="false" customHeight="false" outlineLevel="0" collapsed="false">
      <c r="E33" s="0" t="s">
        <v>43</v>
      </c>
      <c r="F33" s="0" t="n">
        <f aca="false">YEARFRAC(D2,D6,2)</f>
        <v>0.461111111111111</v>
      </c>
    </row>
    <row r="34" customFormat="false" ht="12.8" hidden="false" customHeight="false" outlineLevel="0" collapsed="false">
      <c r="E34" s="0" t="s">
        <v>44</v>
      </c>
      <c r="F34" s="0" t="n">
        <f aca="false">YEARFRAC(D2,D6,3)</f>
        <v>0.454794520547945</v>
      </c>
    </row>
    <row r="35" customFormat="false" ht="12.8" hidden="false" customHeight="false" outlineLevel="0" collapsed="false">
      <c r="E35" s="0" t="s">
        <v>45</v>
      </c>
      <c r="F35" s="0" t="n">
        <f aca="false">YEARFRAC(D2,D6,4)</f>
        <v>0.458333333333333</v>
      </c>
    </row>
    <row r="36" customFormat="false" ht="12.8" hidden="false" customHeight="false" outlineLevel="0" collapsed="false">
      <c r="E36" s="0" t="s">
        <v>46</v>
      </c>
      <c r="F36" s="0" t="n">
        <f aca="false">NETWORKDAYS(D2,D3)</f>
        <v>32</v>
      </c>
    </row>
    <row r="37" customFormat="false" ht="12.8" hidden="false" customHeight="false" outlineLevel="0" collapsed="false">
      <c r="E37" s="0" t="s">
        <v>47</v>
      </c>
      <c r="F37" s="0" t="n">
        <f aca="false">_xlfn.ISOWEEKNUM(D2)</f>
        <v>3</v>
      </c>
    </row>
    <row r="38" customFormat="false" ht="12.8" hidden="false" customHeight="false" outlineLevel="0" collapsed="false">
      <c r="E38" s="0" t="s">
        <v>48</v>
      </c>
      <c r="F38" s="0" t="n">
        <f aca="false">WEEKDAY(D2,1)</f>
        <v>5</v>
      </c>
    </row>
    <row r="39" customFormat="false" ht="12.8" hidden="false" customHeight="false" outlineLevel="0" collapsed="false">
      <c r="E39" s="0" t="s">
        <v>49</v>
      </c>
      <c r="F39" s="0" t="n">
        <f aca="false">WEEKDAY(D2,2)</f>
        <v>4</v>
      </c>
    </row>
    <row r="40" customFormat="false" ht="12.8" hidden="false" customHeight="false" outlineLevel="0" collapsed="false">
      <c r="E40" s="0" t="s">
        <v>50</v>
      </c>
      <c r="F40" s="0" t="n">
        <f aca="false">YEAR(D6)</f>
        <v>2026</v>
      </c>
    </row>
    <row r="41" customFormat="false" ht="12.8" hidden="false" customHeight="false" outlineLevel="0" collapsed="false">
      <c r="E41" s="0" t="s">
        <v>51</v>
      </c>
      <c r="F41" s="0" t="n">
        <f aca="false">MONTH(D6)</f>
        <v>6</v>
      </c>
    </row>
    <row r="42" customFormat="false" ht="12.8" hidden="false" customHeight="false" outlineLevel="0" collapsed="false">
      <c r="E42" s="0" t="s">
        <v>52</v>
      </c>
      <c r="F42" s="0" t="n">
        <f aca="false">DAY(D6)</f>
        <v>30</v>
      </c>
    </row>
    <row r="43" customFormat="false" ht="12.8" hidden="false" customHeight="false" outlineLevel="0" collapsed="false">
      <c r="E43" s="0" t="s">
        <v>53</v>
      </c>
      <c r="F43" s="0" t="n">
        <f aca="false">DATE(2026,13,1)</f>
        <v>46388</v>
      </c>
    </row>
    <row r="44" customFormat="false" ht="12.8" hidden="false" customHeight="false" outlineLevel="0" collapsed="false">
      <c r="E44" s="0" t="s">
        <v>54</v>
      </c>
      <c r="F44" s="0" t="n">
        <f aca="false">_xlfn.STDEV.S(C2:C7)</f>
        <v>624.299607560344</v>
      </c>
    </row>
    <row r="45" customFormat="false" ht="12.8" hidden="false" customHeight="false" outlineLevel="0" collapsed="false">
      <c r="E45" s="0" t="s">
        <v>55</v>
      </c>
      <c r="F45" s="0" t="n">
        <f aca="false">_xlfn.STDEV.P(C2:C7)</f>
        <v>569.904962837372</v>
      </c>
    </row>
    <row r="46" customFormat="false" ht="12.8" hidden="false" customHeight="false" outlineLevel="0" collapsed="false">
      <c r="E46" s="0" t="s">
        <v>56</v>
      </c>
      <c r="F46" s="0" t="n">
        <f aca="false">_xlfn.VAR.S(C2:C7)</f>
        <v>389750</v>
      </c>
    </row>
    <row r="47" customFormat="false" ht="12.8" hidden="false" customHeight="false" outlineLevel="0" collapsed="false">
      <c r="E47" s="0" t="s">
        <v>57</v>
      </c>
      <c r="F47" s="0" t="n">
        <f aca="false">_xlfn.VAR.P(C2:C7)</f>
        <v>324791.666666667</v>
      </c>
    </row>
    <row r="48" customFormat="false" ht="12.8" hidden="false" customHeight="false" outlineLevel="0" collapsed="false">
      <c r="E48" s="0" t="s">
        <v>58</v>
      </c>
      <c r="F48" s="0" t="n">
        <f aca="false">MEDIAN(C2:C7)</f>
        <v>1075</v>
      </c>
    </row>
    <row r="49" customFormat="false" ht="12.8" hidden="false" customHeight="false" outlineLevel="0" collapsed="false">
      <c r="E49" s="0" t="s">
        <v>59</v>
      </c>
      <c r="F49" s="0" t="n">
        <f aca="false">_xlfn.PERCENTILE.INC(C2:C7,0.25)</f>
        <v>837.5</v>
      </c>
    </row>
    <row r="50" customFormat="false" ht="12.8" hidden="false" customHeight="false" outlineLevel="0" collapsed="false">
      <c r="E50" s="0" t="s">
        <v>60</v>
      </c>
      <c r="F50" s="0" t="n">
        <f aca="false">_xlfn.QUARTILE.INC(C2:C7,3)</f>
        <v>1425</v>
      </c>
    </row>
    <row r="51" customFormat="false" ht="12.8" hidden="false" customHeight="false" outlineLevel="0" collapsed="false">
      <c r="E51" s="0" t="s">
        <v>61</v>
      </c>
      <c r="F51" s="0" t="n">
        <f aca="false">_xlfn.RANK.EQ(1500,C2:C7)</f>
        <v>2</v>
      </c>
    </row>
    <row r="52" customFormat="false" ht="12.8" hidden="false" customHeight="false" outlineLevel="0" collapsed="false">
      <c r="E52" s="0" t="s">
        <v>62</v>
      </c>
      <c r="F52" s="0" t="n">
        <f aca="false">_xlfn.RANK.EQ(1500,C2:C7,1)</f>
        <v>5</v>
      </c>
    </row>
    <row r="53" customFormat="false" ht="12.8" hidden="false" customHeight="false" outlineLevel="0" collapsed="false">
      <c r="E53" s="0" t="s">
        <v>63</v>
      </c>
      <c r="F53" s="0" t="n">
        <f aca="false">SMALL(C2:C7,2)</f>
        <v>800</v>
      </c>
    </row>
    <row r="54" customFormat="false" ht="12.8" hidden="false" customHeight="false" outlineLevel="0" collapsed="false">
      <c r="E54" s="0" t="s">
        <v>64</v>
      </c>
      <c r="F54" s="0" t="n">
        <f aca="false">LARGE(C2:C7,2)</f>
        <v>1500</v>
      </c>
    </row>
    <row r="55" customFormat="false" ht="12.8" hidden="false" customHeight="false" outlineLevel="0" collapsed="false">
      <c r="E55" s="0" t="s">
        <v>65</v>
      </c>
      <c r="F55" s="0" t="n">
        <f aca="false">_xlfn.AGGREGATE(9,0,C2:C7)</f>
        <v>7050</v>
      </c>
    </row>
    <row r="56" customFormat="false" ht="12.8" hidden="false" customHeight="false" outlineLevel="0" collapsed="false">
      <c r="E56" s="0" t="s">
        <v>66</v>
      </c>
      <c r="F56" s="0" t="n">
        <f aca="false">_xlfn.AGGREGATE(9,6,C2:C7)</f>
        <v>7050</v>
      </c>
    </row>
    <row r="57" customFormat="false" ht="12.8" hidden="false" customHeight="false" outlineLevel="0" collapsed="false">
      <c r="E57" s="0" t="s">
        <v>67</v>
      </c>
      <c r="F57" s="0" t="n">
        <f aca="false">SUBTOTAL(109,C2:C7)</f>
        <v>7050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