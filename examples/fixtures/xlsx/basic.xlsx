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dger" sheetId="1" r:id="rId1"/>
    <sheet name="Notes &amp; Refs" sheetId="2" r:id="rId2"/>
    <sheet name="Formulas" sheetId="3" r:id="rId5"/>
  </sheets>
</workbook>
</file>

<file path=xl/sharedStrings.xml><?xml version="1.0" encoding="utf-8"?>
<sst xmlns="http://schemas.openxmlformats.org/spreadsheetml/2006/main" count="4" uniqueCount="4">
  <si>
    <t>Account</t>
  </si>
  <si>
    <t>Balance</t>
  </si>
  <si>
    <t>Opening &amp; carry</t>
  </si>
  <si>
    <t>café</t>
  </si>
</sst>
</file>

<file path=xl/styles.xml><?xml version="1.0" encoding="utf-8"?>
<styleSheet xmlns="http://schemas.openxmlformats.org/spreadsheetml/2006/main">
  <numFmts count="1">
    <numFmt numFmtId="164" formatCode="&quot;$&quot;#,##0.00"/>
  </numFmts>
  <cellXfs count="3">
    <xf numFmtId="0" xfId="0"/>
    <xf numFmtId="164" xfId="0" applyNumberFormat="1"/>
    <xf numFmtId="14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worksheet" Target="worksheets/sheet3.xml"/></Relationships>
</file>

<file path=xl/customData/vendor.xml><?xml version="1.0" encoding="utf-8"?>
<vendorBlob who="not-modelled">
  <keep>this must survive a round trip</keep>
</vendorBlob>
</file>

<file path=xl/worksheets/sheet1.xml><?xml version="1.0" encoding="utf-8"?>
<worksheet xmlns="http://schemas.openxmlformats.org/spreadsheetml/2006/main">
  <dimension ref="A1:D7"/>
  <sheetData>
    <row r="1">
      <c r="A1" t="s">
        <v>0</v>
      </c>
      <c r="B1" t="s">
        <v>1</v>
      </c>
    </row>
    <row r="2">
      <c r="A2" t="s">
        <v>2</v>
      </c>
      <c r="B2" s="1">
        <v>1250.5</v>
      </c>
    </row>
    <row r="3">
      <c r="A3" t="s">
        <v>3</v>
      </c>
      <c r="B3" s="1">
        <v>-99.25</v>
      </c>
    </row>
    <row r="5">
      <c r="A5" t="inlineStr">
        <is>
          <t>Total</t>
        </is>
      </c>
      <c r="B5" s="1">
        <f>SUM(B2:B3)</f>
        <v>1151.25</v>
      </c>
    </row>
    <row r="6">
      <c r="A6" s="2">
        <v>45000</v>
      </c>
      <c r="B6" t="b">
        <v>1</v>
      </c>
    </row>
    <row r="7">
      <c r="A7" t="e">
        <v>#DIV/0!</v>
      </c>
      <c r="D7">
        <f>B5*2</f>
        <v>2302.5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second sheet</t>
        </is>
      </c>
    </row>
  </sheetData>
</worksheet>
</file>

<file path=xl/worksheets/sheet3.xml><?xml version="1.0" encoding="utf-8"?>
<worksheet xmlns="http://schemas.openxmlformats.org/spreadsheetml/2006/main">
  <sheetData>
    <row r="1">
      <c r="A1">
        <v>10</v>
      </c>
      <c r="B1">
        <f>A1+A2*A3</f>
        <v>20</v>
      </c>
    </row>
    <row r="2">
      <c r="A2">
        <v>4</v>
      </c>
      <c r="B2">
        <f>(A1+A2)*A3</f>
        <v>35</v>
      </c>
    </row>
    <row r="3">
      <c r="A3">
        <v>2.5</v>
      </c>
      <c r="B3">
        <f>A1/A2</f>
        <v>2.5</v>
      </c>
    </row>
    <row r="4">
      <c r="A4" t="inlineStr">
        <is>
          <t>7</t>
        </is>
      </c>
      <c r="B4" t="e">
        <f>A1/0</f>
        <v>#DIV/0!</v>
      </c>
    </row>
    <row r="5">
      <c r="B5">
        <f>2^10</f>
        <v>1024</v>
      </c>
    </row>
    <row r="6">
      <c r="B6">
        <f>-A2+1</f>
        <v>-3</v>
      </c>
    </row>
    <row r="7">
      <c r="B7">
        <f>50%*A1</f>
        <v>5</v>
      </c>
    </row>
    <row r="8">
      <c r="B8" t="str">
        <f>"x"&amp;A1</f>
        <v>x10</v>
      </c>
    </row>
    <row r="9">
      <c r="B9" t="b">
        <f>A1&gt;A2</f>
        <v>1</v>
      </c>
    </row>
    <row r="10">
      <c r="B10" t="str">
        <f>IF(A1&gt;A2,"big","small")</f>
        <v>big</v>
      </c>
    </row>
    <row r="11">
      <c r="B11">
        <f>ROUND(A3,0)</f>
        <v>3</v>
      </c>
    </row>
    <row r="12">
      <c r="B12">
        <f>SUM(A1:A3)</f>
        <v>16.5</v>
      </c>
    </row>
    <row r="13">
      <c r="B13">
        <f>AVERAGE(A1:A3)</f>
        <v>5.5</v>
      </c>
    </row>
    <row r="14">
      <c r="B14">
        <f>MIN(A1:A3)</f>
        <v>2.5</v>
      </c>
    </row>
    <row r="15">
      <c r="B15">
        <f>MAX(A1:A3)</f>
        <v>10</v>
      </c>
    </row>
    <row r="16">
      <c r="B16">
        <f>COUNT(A1:A4)</f>
        <v>3</v>
      </c>
    </row>
    <row r="17">
      <c r="B17" t="str">
        <f>IFERROR(A1/0,"caught")</f>
        <v>caught</v>
      </c>
    </row>
    <row r="18">
      <c r="B18">
        <f>NOW()</f>
        <v>45870.5</v>
      </c>
    </row>
    <row r="19">
      <c r="B19">
        <f>XLOOKUP(A1,A1:A3,A1:A3)</f>
        <v>10</v>
      </c>
    </row>
  </sheetData>
</worksheet>
</file>